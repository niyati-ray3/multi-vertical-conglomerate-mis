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yati\OneDrive\Desktop\Adani\"/>
    </mc:Choice>
  </mc:AlternateContent>
  <xr:revisionPtr revIDLastSave="0" documentId="13_ncr:1_{FA95B6BB-4236-4C71-BFEC-9E744C7FC2A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ashboard" sheetId="1" r:id="rId1"/>
    <sheet name="Data Dictionary" sheetId="2" r:id="rId2"/>
    <sheet name="Raw Data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3" i="3" l="1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D15" i="1"/>
  <c r="E14" i="1"/>
  <c r="F14" i="1" s="1"/>
  <c r="D14" i="1"/>
  <c r="C14" i="1"/>
  <c r="D13" i="1"/>
  <c r="C13" i="1"/>
  <c r="E13" i="1" s="1"/>
  <c r="F13" i="1" s="1"/>
  <c r="E12" i="1"/>
  <c r="F12" i="1" s="1"/>
  <c r="D12" i="1"/>
  <c r="C12" i="1"/>
  <c r="D11" i="1"/>
  <c r="C11" i="1"/>
  <c r="E11" i="1" s="1"/>
  <c r="F11" i="1" s="1"/>
  <c r="E6" i="1"/>
  <c r="B6" i="1"/>
  <c r="K6" i="1" s="1"/>
  <c r="H6" i="1" l="1"/>
  <c r="C15" i="1"/>
  <c r="E15" i="1" s="1"/>
  <c r="F15" i="1" s="1"/>
</calcChain>
</file>

<file path=xl/sharedStrings.xml><?xml version="1.0" encoding="utf-8"?>
<sst xmlns="http://schemas.openxmlformats.org/spreadsheetml/2006/main" count="167" uniqueCount="58">
  <si>
    <t>Group-Level Business Performance MIS Dashboard</t>
  </si>
  <si>
    <t>Consolidated view across verticals | FY25-FY26 (8 quarters) | All figures in INR Crores</t>
  </si>
  <si>
    <t>Total Revenue (Latest Qtr)</t>
  </si>
  <si>
    <t>Total Cost (Latest Qtr)</t>
  </si>
  <si>
    <t>Group EBITDA Margin %</t>
  </si>
  <si>
    <t>YoY Revenue Growth %</t>
  </si>
  <si>
    <t>Revenue by Vertical — Latest Quarter vs Budget</t>
  </si>
  <si>
    <t>Vertical</t>
  </si>
  <si>
    <t>Actual Revenue (Cr)</t>
  </si>
  <si>
    <t>Budget Revenue (Cr)</t>
  </si>
  <si>
    <t>Variance (Cr)</t>
  </si>
  <si>
    <t>Variance %</t>
  </si>
  <si>
    <t>Ports &amp; Logistics</t>
  </si>
  <si>
    <t>Power</t>
  </si>
  <si>
    <t>Green Energy</t>
  </si>
  <si>
    <t>Cement</t>
  </si>
  <si>
    <t>Group Total</t>
  </si>
  <si>
    <t>Revenue Trend by Vertical (Cr) — All Quarters</t>
  </si>
  <si>
    <t>Quarter</t>
  </si>
  <si>
    <t>Q1 FY25</t>
  </si>
  <si>
    <t>Q2 FY25</t>
  </si>
  <si>
    <t>Q3 FY25</t>
  </si>
  <si>
    <t>Q4 FY25</t>
  </si>
  <si>
    <t>Q1 FY26</t>
  </si>
  <si>
    <t>Q2 FY26</t>
  </si>
  <si>
    <t>Q3 FY26</t>
  </si>
  <si>
    <t>Q4 FY26</t>
  </si>
  <si>
    <t>Data Dictionary &amp; Project Notes</t>
  </si>
  <si>
    <t>Field</t>
  </si>
  <si>
    <t>Description</t>
  </si>
  <si>
    <t>Notes / Source</t>
  </si>
  <si>
    <t>Fiscal quarter (Apr-Mar Indian FY), e.g. Q1 FY25</t>
  </si>
  <si>
    <t>FY25 = Apr 2024-Mar 2025</t>
  </si>
  <si>
    <t>Business vertical: Ports &amp; Logistics, Power, Green Energy, Cement</t>
  </si>
  <si>
    <t>Simulated to mirror Adani Group's core listed entities</t>
  </si>
  <si>
    <t>Revenue (Cr)</t>
  </si>
  <si>
    <t>Quarterly revenue in INR Crores</t>
  </si>
  <si>
    <t>Simulated dataset for portfolio purposes</t>
  </si>
  <si>
    <t>Cost (Cr)</t>
  </si>
  <si>
    <t>Quarterly operating cost in INR Crores</t>
  </si>
  <si>
    <t>Board-approved budgeted revenue for the quarter</t>
  </si>
  <si>
    <t>Volume (Units)</t>
  </si>
  <si>
    <t>Operational volume metric — cargo MMT for Ports, MW generated for Power/Green Energy, tonnes for Cement</t>
  </si>
  <si>
    <t>Unit varies by vertical, see Raw Data notes</t>
  </si>
  <si>
    <t>EBITDA Margin %</t>
  </si>
  <si>
    <t>EBITDA as % of revenue for the quarter</t>
  </si>
  <si>
    <t>Formula: (Revenue minus Cost), divided by Revenue</t>
  </si>
  <si>
    <t>Project Purpose</t>
  </si>
  <si>
    <t>This dashboard simulates a centralized, group-level MIS reporting function of the kind used at a diversified infrastructure conglomerate HQ — consolidating quarterly performance across multiple business verticals into a single leadership-facing view, with budget vs actual variance tracking and drill-down by vertical.</t>
  </si>
  <si>
    <t>Tools Used</t>
  </si>
  <si>
    <t>Excel (data modeling, formulas, dashboard) — designed for import into Power BI for interactive drill-down</t>
  </si>
  <si>
    <t>Author</t>
  </si>
  <si>
    <t>Niyati Ray | linkedin.com/in/niyati-ray | github.com/niyati-ray3</t>
  </si>
  <si>
    <t>Volume</t>
  </si>
  <si>
    <t>Volume Metric</t>
  </si>
  <si>
    <t>Cargo Volume (MMT)</t>
  </si>
  <si>
    <t>Generation (MW)</t>
  </si>
  <si>
    <t>Sales Volume (MnT)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</si>
</sst>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&quot; Cr&quot;"/>
    <numFmt numFmtId="165" formatCode="0.0%"/>
    <numFmt numFmtId="166" formatCode="#,##0.0"/>
  </numFmts>
  <fonts count="9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sz val="10"/>
      <color rgb="FF595959"/>
      <name val="Arial"/>
      <charset val="1"/>
    </font>
    <font>
      <b/>
      <sz val="18"/>
      <color rgb="FF1F3864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EAF1FB"/>
        <bgColor rgb="FFF9F9F9"/>
      </patternFill>
    </fill>
    <fill>
      <patternFill patternType="solid">
        <fgColor rgb="FF1F3864"/>
        <bgColor rgb="FF33339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0" borderId="0" xfId="0" applyFont="1" applyAlignment="1">
      <alignment vertical="top" wrapText="1"/>
    </xf>
    <xf numFmtId="165" fontId="4" fillId="2" borderId="0" xfId="0" applyNumberFormat="1" applyFont="1" applyFill="1"/>
    <xf numFmtId="164" fontId="4" fillId="2" borderId="0" xfId="0" applyNumberFormat="1" applyFont="1" applyFill="1"/>
    <xf numFmtId="0" fontId="3" fillId="2" borderId="0" xfId="0" applyFont="1" applyFill="1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wrapText="1"/>
    </xf>
    <xf numFmtId="0" fontId="7" fillId="0" borderId="1" xfId="0" applyFont="1" applyBorder="1" applyAlignment="1">
      <alignment horizontal="left"/>
    </xf>
    <xf numFmtId="166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8" fillId="0" borderId="2" xfId="0" applyFont="1" applyBorder="1"/>
    <xf numFmtId="166" fontId="8" fillId="0" borderId="2" xfId="0" applyNumberFormat="1" applyFont="1" applyBorder="1"/>
    <xf numFmtId="165" fontId="8" fillId="0" borderId="2" xfId="0" applyNumberFormat="1" applyFont="1" applyBorder="1"/>
    <xf numFmtId="0" fontId="6" fillId="3" borderId="0" xfId="0" applyFont="1" applyFill="1"/>
    <xf numFmtId="0" fontId="7" fillId="0" borderId="1" xfId="0" applyFont="1" applyBorder="1"/>
    <xf numFmtId="3" fontId="7" fillId="0" borderId="1" xfId="0" applyNumberFormat="1" applyFont="1" applyBorder="1"/>
    <xf numFmtId="0" fontId="6" fillId="3" borderId="0" xfId="0" applyFont="1" applyFill="1" applyAlignment="1">
      <alignment horizontal="left" vertical="center"/>
    </xf>
    <xf numFmtId="0" fontId="7" fillId="0" borderId="1" xfId="0" applyFont="1" applyBorder="1" applyAlignment="1">
      <alignment vertical="top" wrapText="1"/>
    </xf>
    <xf numFmtId="0" fontId="7" fillId="0" borderId="0" xfId="0" applyFont="1"/>
    <xf numFmtId="0" fontId="6" fillId="3" borderId="0" xfId="0" applyFont="1" applyFill="1" applyAlignment="1">
      <alignment horizontal="center" vertical="center" wrapText="1"/>
    </xf>
    <xf numFmtId="166" fontId="7" fillId="0" borderId="1" xfId="0" applyNumberFormat="1" applyFont="1" applyBorder="1"/>
    <xf numFmtId="165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Trend by Vertical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Dashboard!$C$18</c:f>
              <c:strCache>
                <c:ptCount val="1"/>
                <c:pt idx="0">
                  <c:v>Ports &amp; Logistics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Dashboard!$B$19:$B$26</c:f>
              <c:strCache>
                <c:ptCount val="8"/>
                <c:pt idx="0">
                  <c:v>Q1 FY25</c:v>
                </c:pt>
                <c:pt idx="1">
                  <c:v>Q2 FY25</c:v>
                </c:pt>
                <c:pt idx="2">
                  <c:v>Q3 FY25</c:v>
                </c:pt>
                <c:pt idx="3">
                  <c:v>Q4 FY25</c:v>
                </c:pt>
                <c:pt idx="4">
                  <c:v>Q1 FY26</c:v>
                </c:pt>
                <c:pt idx="5">
                  <c:v>Q2 FY26</c:v>
                </c:pt>
                <c:pt idx="6">
                  <c:v>Q3 FY26</c:v>
                </c:pt>
                <c:pt idx="7">
                  <c:v>Q4 FY26</c:v>
                </c:pt>
              </c:strCache>
            </c:strRef>
          </c:cat>
          <c:val>
            <c:numRef>
              <c:f>Dashboard!$C$19:$C$26</c:f>
              <c:numCache>
                <c:formatCode>#,##0</c:formatCode>
                <c:ptCount val="8"/>
                <c:pt idx="0">
                  <c:v>4108.1000000000004</c:v>
                </c:pt>
                <c:pt idx="1">
                  <c:v>4393.7</c:v>
                </c:pt>
                <c:pt idx="2">
                  <c:v>4232.2</c:v>
                </c:pt>
                <c:pt idx="3">
                  <c:v>4431</c:v>
                </c:pt>
                <c:pt idx="4">
                  <c:v>4189</c:v>
                </c:pt>
                <c:pt idx="5">
                  <c:v>4613.6000000000004</c:v>
                </c:pt>
                <c:pt idx="6">
                  <c:v>4568.7</c:v>
                </c:pt>
                <c:pt idx="7">
                  <c:v>4868.7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5D-4B5F-BB54-5A25AC6F2573}"/>
            </c:ext>
          </c:extLst>
        </c:ser>
        <c:ser>
          <c:idx val="1"/>
          <c:order val="1"/>
          <c:tx>
            <c:strRef>
              <c:f>Dashboard!$D$18</c:f>
              <c:strCache>
                <c:ptCount val="1"/>
                <c:pt idx="0">
                  <c:v>Power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Dashboard!$B$19:$B$26</c:f>
              <c:strCache>
                <c:ptCount val="8"/>
                <c:pt idx="0">
                  <c:v>Q1 FY25</c:v>
                </c:pt>
                <c:pt idx="1">
                  <c:v>Q2 FY25</c:v>
                </c:pt>
                <c:pt idx="2">
                  <c:v>Q3 FY25</c:v>
                </c:pt>
                <c:pt idx="3">
                  <c:v>Q4 FY25</c:v>
                </c:pt>
                <c:pt idx="4">
                  <c:v>Q1 FY26</c:v>
                </c:pt>
                <c:pt idx="5">
                  <c:v>Q2 FY26</c:v>
                </c:pt>
                <c:pt idx="6">
                  <c:v>Q3 FY26</c:v>
                </c:pt>
                <c:pt idx="7">
                  <c:v>Q4 FY26</c:v>
                </c:pt>
              </c:strCache>
            </c:strRef>
          </c:cat>
          <c:val>
            <c:numRef>
              <c:f>Dashboard!$D$19:$D$26</c:f>
              <c:numCache>
                <c:formatCode>#,##0</c:formatCode>
                <c:ptCount val="8"/>
                <c:pt idx="0">
                  <c:v>4957.8</c:v>
                </c:pt>
                <c:pt idx="1">
                  <c:v>5331.3</c:v>
                </c:pt>
                <c:pt idx="2">
                  <c:v>5162.2</c:v>
                </c:pt>
                <c:pt idx="3">
                  <c:v>5298.7</c:v>
                </c:pt>
                <c:pt idx="4">
                  <c:v>5087.8</c:v>
                </c:pt>
                <c:pt idx="5">
                  <c:v>5258.8</c:v>
                </c:pt>
                <c:pt idx="6">
                  <c:v>5099.7</c:v>
                </c:pt>
                <c:pt idx="7">
                  <c:v>5708.1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5D-4B5F-BB54-5A25AC6F2573}"/>
            </c:ext>
          </c:extLst>
        </c:ser>
        <c:ser>
          <c:idx val="2"/>
          <c:order val="2"/>
          <c:tx>
            <c:strRef>
              <c:f>Dashboard!$E$18</c:f>
              <c:strCache>
                <c:ptCount val="1"/>
                <c:pt idx="0">
                  <c:v>Green Energy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Dashboard!$B$19:$B$26</c:f>
              <c:strCache>
                <c:ptCount val="8"/>
                <c:pt idx="0">
                  <c:v>Q1 FY25</c:v>
                </c:pt>
                <c:pt idx="1">
                  <c:v>Q2 FY25</c:v>
                </c:pt>
                <c:pt idx="2">
                  <c:v>Q3 FY25</c:v>
                </c:pt>
                <c:pt idx="3">
                  <c:v>Q4 FY25</c:v>
                </c:pt>
                <c:pt idx="4">
                  <c:v>Q1 FY26</c:v>
                </c:pt>
                <c:pt idx="5">
                  <c:v>Q2 FY26</c:v>
                </c:pt>
                <c:pt idx="6">
                  <c:v>Q3 FY26</c:v>
                </c:pt>
                <c:pt idx="7">
                  <c:v>Q4 FY26</c:v>
                </c:pt>
              </c:strCache>
            </c:strRef>
          </c:cat>
          <c:val>
            <c:numRef>
              <c:f>Dashboard!$E$19:$E$26</c:f>
              <c:numCache>
                <c:formatCode>#,##0</c:formatCode>
                <c:ptCount val="8"/>
                <c:pt idx="0">
                  <c:v>2573.9</c:v>
                </c:pt>
                <c:pt idx="1">
                  <c:v>2668.5</c:v>
                </c:pt>
                <c:pt idx="2">
                  <c:v>2725.1</c:v>
                </c:pt>
                <c:pt idx="3">
                  <c:v>2947.4</c:v>
                </c:pt>
                <c:pt idx="4">
                  <c:v>2713.2</c:v>
                </c:pt>
                <c:pt idx="5">
                  <c:v>2874.9</c:v>
                </c:pt>
                <c:pt idx="6">
                  <c:v>2786.3</c:v>
                </c:pt>
                <c:pt idx="7">
                  <c:v>3136.5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25D-4B5F-BB54-5A25AC6F2573}"/>
            </c:ext>
          </c:extLst>
        </c:ser>
        <c:ser>
          <c:idx val="3"/>
          <c:order val="3"/>
          <c:tx>
            <c:strRef>
              <c:f>Dashboard!$F$18</c:f>
              <c:strCache>
                <c:ptCount val="1"/>
                <c:pt idx="0">
                  <c:v>Cement</c:v>
                </c:pt>
              </c:strCache>
            </c:strRef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Dashboard!$B$19:$B$26</c:f>
              <c:strCache>
                <c:ptCount val="8"/>
                <c:pt idx="0">
                  <c:v>Q1 FY25</c:v>
                </c:pt>
                <c:pt idx="1">
                  <c:v>Q2 FY25</c:v>
                </c:pt>
                <c:pt idx="2">
                  <c:v>Q3 FY25</c:v>
                </c:pt>
                <c:pt idx="3">
                  <c:v>Q4 FY25</c:v>
                </c:pt>
                <c:pt idx="4">
                  <c:v>Q1 FY26</c:v>
                </c:pt>
                <c:pt idx="5">
                  <c:v>Q2 FY26</c:v>
                </c:pt>
                <c:pt idx="6">
                  <c:v>Q3 FY26</c:v>
                </c:pt>
                <c:pt idx="7">
                  <c:v>Q4 FY26</c:v>
                </c:pt>
              </c:strCache>
            </c:strRef>
          </c:cat>
          <c:val>
            <c:numRef>
              <c:f>Dashboard!$F$19:$F$26</c:f>
              <c:numCache>
                <c:formatCode>#,##0</c:formatCode>
                <c:ptCount val="8"/>
                <c:pt idx="0">
                  <c:v>3096.5</c:v>
                </c:pt>
                <c:pt idx="1">
                  <c:v>3092.3</c:v>
                </c:pt>
                <c:pt idx="2">
                  <c:v>3071.6</c:v>
                </c:pt>
                <c:pt idx="3">
                  <c:v>3319.5</c:v>
                </c:pt>
                <c:pt idx="4">
                  <c:v>3098.3</c:v>
                </c:pt>
                <c:pt idx="5">
                  <c:v>3242.7</c:v>
                </c:pt>
                <c:pt idx="6">
                  <c:v>3260.3</c:v>
                </c:pt>
                <c:pt idx="7">
                  <c:v>3327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25D-4B5F-BB54-5A25AC6F2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856991"/>
        <c:axId val="16916863"/>
      </c:lineChart>
      <c:catAx>
        <c:axId val="458569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16863"/>
        <c:crosses val="autoZero"/>
        <c:auto val="1"/>
        <c:lblAlgn val="ctr"/>
        <c:lblOffset val="100"/>
        <c:noMultiLvlLbl val="0"/>
      </c:catAx>
      <c:valAx>
        <c:axId val="169168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(Cr)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8569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Actual vs Budget Revenue — Q4 FY26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Actual Revenue (Cr)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Dashboard!$B$11:$B$14</c:f>
              <c:strCache>
                <c:ptCount val="4"/>
                <c:pt idx="0">
                  <c:v>Ports &amp; Logistics</c:v>
                </c:pt>
                <c:pt idx="1">
                  <c:v>Power</c:v>
                </c:pt>
                <c:pt idx="2">
                  <c:v>Green Energy</c:v>
                </c:pt>
                <c:pt idx="3">
                  <c:v>Cement</c:v>
                </c:pt>
              </c:strCache>
            </c:strRef>
          </c:cat>
          <c:val>
            <c:numRef>
              <c:f>Dashboard!$C$11:$C$14</c:f>
              <c:numCache>
                <c:formatCode>#,##0.0</c:formatCode>
                <c:ptCount val="4"/>
                <c:pt idx="0">
                  <c:v>4868.7</c:v>
                </c:pt>
                <c:pt idx="1">
                  <c:v>5708.1</c:v>
                </c:pt>
                <c:pt idx="2">
                  <c:v>3136.5</c:v>
                </c:pt>
                <c:pt idx="3">
                  <c:v>3327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9-456A-BE11-0DFF313E5028}"/>
            </c:ext>
          </c:extLst>
        </c:ser>
        <c:ser>
          <c:idx val="1"/>
          <c:order val="1"/>
          <c:tx>
            <c:strRef>
              <c:f>Dashboard!$D$10</c:f>
              <c:strCache>
                <c:ptCount val="1"/>
                <c:pt idx="0">
                  <c:v>Budget Revenue (Cr)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Dashboard!$B$11:$B$14</c:f>
              <c:strCache>
                <c:ptCount val="4"/>
                <c:pt idx="0">
                  <c:v>Ports &amp; Logistics</c:v>
                </c:pt>
                <c:pt idx="1">
                  <c:v>Power</c:v>
                </c:pt>
                <c:pt idx="2">
                  <c:v>Green Energy</c:v>
                </c:pt>
                <c:pt idx="3">
                  <c:v>Cement</c:v>
                </c:pt>
              </c:strCache>
            </c:strRef>
          </c:cat>
          <c:val>
            <c:numRef>
              <c:f>Dashboard!$D$11:$D$14</c:f>
              <c:numCache>
                <c:formatCode>#,##0.0</c:formatCode>
                <c:ptCount val="4"/>
                <c:pt idx="0">
                  <c:v>4981.8</c:v>
                </c:pt>
                <c:pt idx="1">
                  <c:v>5681.4</c:v>
                </c:pt>
                <c:pt idx="2">
                  <c:v>3036.5</c:v>
                </c:pt>
                <c:pt idx="3">
                  <c:v>3366.5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9-456A-BE11-0DFF313E5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29661"/>
        <c:axId val="96009989"/>
      </c:barChart>
      <c:catAx>
        <c:axId val="579296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Vertical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009989"/>
        <c:crosses val="autoZero"/>
        <c:auto val="1"/>
        <c:lblAlgn val="ctr"/>
        <c:lblOffset val="100"/>
        <c:noMultiLvlLbl val="0"/>
      </c:catAx>
      <c:valAx>
        <c:axId val="960099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(Cr)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9296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457695</xdr:colOff>
      <xdr:row>21</xdr:row>
      <xdr:rowOff>44088</xdr:rowOff>
    </xdr:from>
    <xdr:to>
      <xdr:col>14</xdr:col>
      <xdr:colOff>236542</xdr:colOff>
      <xdr:row>36</xdr:row>
      <xdr:rowOff>125860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457695</xdr:colOff>
      <xdr:row>7</xdr:row>
      <xdr:rowOff>6979</xdr:rowOff>
    </xdr:from>
    <xdr:to>
      <xdr:col>14</xdr:col>
      <xdr:colOff>236542</xdr:colOff>
      <xdr:row>20</xdr:row>
      <xdr:rowOff>76382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6"/>
  <sheetViews>
    <sheetView showGridLines="0" tabSelected="1" topLeftCell="B10" zoomScale="80" zoomScaleNormal="100" workbookViewId="0">
      <selection activeCell="R12" sqref="R12"/>
    </sheetView>
  </sheetViews>
  <sheetFormatPr defaultColWidth="8.7109375" defaultRowHeight="15" x14ac:dyDescent="0.25"/>
  <cols>
    <col min="1" max="1" width="2" customWidth="1"/>
    <col min="2" max="12" width="13" customWidth="1"/>
  </cols>
  <sheetData>
    <row r="2" spans="2:12" ht="20.25" x14ac:dyDescent="0.3">
      <c r="B2" s="5" t="s">
        <v>0</v>
      </c>
    </row>
    <row r="3" spans="2:12" x14ac:dyDescent="0.25">
      <c r="B3" s="6" t="s">
        <v>1</v>
      </c>
    </row>
    <row r="5" spans="2:12" x14ac:dyDescent="0.25">
      <c r="B5" s="4" t="s">
        <v>2</v>
      </c>
      <c r="C5" s="4"/>
      <c r="E5" s="4" t="s">
        <v>3</v>
      </c>
      <c r="F5" s="4"/>
      <c r="H5" s="4" t="s">
        <v>4</v>
      </c>
      <c r="I5" s="4"/>
      <c r="K5" s="4" t="s">
        <v>5</v>
      </c>
      <c r="L5" s="4"/>
    </row>
    <row r="6" spans="2:12" ht="27.75" customHeight="1" x14ac:dyDescent="0.35">
      <c r="B6" s="3">
        <f>SUMIFS('Raw Data'!C:C,'Raw Data'!A:A,"Q4 FY26")</f>
        <v>17040.3</v>
      </c>
      <c r="C6" s="3"/>
      <c r="E6" s="3">
        <f>SUMIFS('Raw Data'!D:D,'Raw Data'!A:A,"Q4 FY26")</f>
        <v>10385.200000000001</v>
      </c>
      <c r="F6" s="3"/>
      <c r="H6" s="2">
        <f>(B6-E6)/B6</f>
        <v>0.390550635845613</v>
      </c>
      <c r="I6" s="2"/>
      <c r="K6" s="2">
        <f>(B6-SUMIFS('Raw Data'!C:C,'Raw Data'!A:A,"Q4 FY25"))/SUMIFS('Raw Data'!C:C,'Raw Data'!A:A,"Q4 FY25")</f>
        <v>6.5245114586849631E-2</v>
      </c>
      <c r="L6" s="2"/>
    </row>
    <row r="9" spans="2:12" ht="15.75" x14ac:dyDescent="0.25">
      <c r="B9" s="7" t="s">
        <v>6</v>
      </c>
    </row>
    <row r="10" spans="2:12" ht="27.75" customHeight="1" x14ac:dyDescent="0.25"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</row>
    <row r="11" spans="2:12" x14ac:dyDescent="0.25">
      <c r="B11" s="9" t="s">
        <v>12</v>
      </c>
      <c r="C11" s="10">
        <f>SUMIFS('Raw Data'!C:C,'Raw Data'!A:A,"Q4 FY26",'Raw Data'!B:B,B11)</f>
        <v>4868.7</v>
      </c>
      <c r="D11" s="10">
        <f>SUMIFS('Raw Data'!E:E,'Raw Data'!A:A,"Q4 FY26",'Raw Data'!B:B,B11)</f>
        <v>4981.8</v>
      </c>
      <c r="E11" s="10">
        <f>C11-D11</f>
        <v>-113.10000000000036</v>
      </c>
      <c r="F11" s="11">
        <f>E11/D11</f>
        <v>-2.2702637600867229E-2</v>
      </c>
    </row>
    <row r="12" spans="2:12" x14ac:dyDescent="0.25">
      <c r="B12" s="9" t="s">
        <v>13</v>
      </c>
      <c r="C12" s="10">
        <f>SUMIFS('Raw Data'!C:C,'Raw Data'!A:A,"Q4 FY26",'Raw Data'!B:B,B12)</f>
        <v>5708.1</v>
      </c>
      <c r="D12" s="10">
        <f>SUMIFS('Raw Data'!E:E,'Raw Data'!A:A,"Q4 FY26",'Raw Data'!B:B,B12)</f>
        <v>5681.4</v>
      </c>
      <c r="E12" s="10">
        <f>C12-D12</f>
        <v>26.700000000000728</v>
      </c>
      <c r="F12" s="11">
        <f>E12/D12</f>
        <v>4.6995458865773804E-3</v>
      </c>
    </row>
    <row r="13" spans="2:12" x14ac:dyDescent="0.25">
      <c r="B13" s="9" t="s">
        <v>14</v>
      </c>
      <c r="C13" s="10">
        <f>SUMIFS('Raw Data'!C:C,'Raw Data'!A:A,"Q4 FY26",'Raw Data'!B:B,B13)</f>
        <v>3136.5</v>
      </c>
      <c r="D13" s="10">
        <f>SUMIFS('Raw Data'!E:E,'Raw Data'!A:A,"Q4 FY26",'Raw Data'!B:B,B13)</f>
        <v>3036.5</v>
      </c>
      <c r="E13" s="10">
        <f>C13-D13</f>
        <v>100</v>
      </c>
      <c r="F13" s="11">
        <f>E13/D13</f>
        <v>3.2932652725177015E-2</v>
      </c>
    </row>
    <row r="14" spans="2:12" x14ac:dyDescent="0.25">
      <c r="B14" s="9" t="s">
        <v>15</v>
      </c>
      <c r="C14" s="10">
        <f>SUMIFS('Raw Data'!C:C,'Raw Data'!A:A,"Q4 FY26",'Raw Data'!B:B,B14)</f>
        <v>3327</v>
      </c>
      <c r="D14" s="10">
        <f>SUMIFS('Raw Data'!E:E,'Raw Data'!A:A,"Q4 FY26",'Raw Data'!B:B,B14)</f>
        <v>3366.5</v>
      </c>
      <c r="E14" s="10">
        <f>C14-D14</f>
        <v>-39.5</v>
      </c>
      <c r="F14" s="11">
        <f>E14/D14</f>
        <v>-1.1733254121491163E-2</v>
      </c>
    </row>
    <row r="15" spans="2:12" x14ac:dyDescent="0.25">
      <c r="B15" s="12" t="s">
        <v>16</v>
      </c>
      <c r="C15" s="13">
        <f>SUM(C11:C14)</f>
        <v>17040.3</v>
      </c>
      <c r="D15" s="13">
        <f>SUM(D11:D14)</f>
        <v>17066.2</v>
      </c>
      <c r="E15" s="13">
        <f>C15-D15</f>
        <v>-25.900000000001455</v>
      </c>
      <c r="F15" s="14">
        <f>E15/D15</f>
        <v>-1.5176196224116355E-3</v>
      </c>
    </row>
    <row r="17" spans="2:6" ht="15.75" x14ac:dyDescent="0.25">
      <c r="B17" s="7" t="s">
        <v>17</v>
      </c>
    </row>
    <row r="18" spans="2:6" ht="30" x14ac:dyDescent="0.25">
      <c r="B18" s="15" t="s">
        <v>18</v>
      </c>
      <c r="C18" s="8" t="s">
        <v>12</v>
      </c>
      <c r="D18" s="8" t="s">
        <v>13</v>
      </c>
      <c r="E18" s="8" t="s">
        <v>14</v>
      </c>
      <c r="F18" s="8" t="s">
        <v>15</v>
      </c>
    </row>
    <row r="19" spans="2:6" x14ac:dyDescent="0.25">
      <c r="B19" s="16" t="s">
        <v>19</v>
      </c>
      <c r="C19" s="17">
        <f>SUMIFS('Raw Data'!C:C,'Raw Data'!A:A,B19,'Raw Data'!B:B,"Ports &amp; Logistics")</f>
        <v>4108.1000000000004</v>
      </c>
      <c r="D19" s="17">
        <f>SUMIFS('Raw Data'!C:C,'Raw Data'!A:A,B19,'Raw Data'!B:B,"Power")</f>
        <v>4957.8</v>
      </c>
      <c r="E19" s="17">
        <f>SUMIFS('Raw Data'!C:C,'Raw Data'!A:A,B19,'Raw Data'!B:B,"Green Energy")</f>
        <v>2573.9</v>
      </c>
      <c r="F19" s="17">
        <f>SUMIFS('Raw Data'!C:C,'Raw Data'!A:A,B19,'Raw Data'!B:B,"Cement")</f>
        <v>3096.5</v>
      </c>
    </row>
    <row r="20" spans="2:6" x14ac:dyDescent="0.25">
      <c r="B20" s="16" t="s">
        <v>20</v>
      </c>
      <c r="C20" s="17">
        <f>SUMIFS('Raw Data'!C:C,'Raw Data'!A:A,B20,'Raw Data'!B:B,"Ports &amp; Logistics")</f>
        <v>4393.7</v>
      </c>
      <c r="D20" s="17">
        <f>SUMIFS('Raw Data'!C:C,'Raw Data'!A:A,B20,'Raw Data'!B:B,"Power")</f>
        <v>5331.3</v>
      </c>
      <c r="E20" s="17">
        <f>SUMIFS('Raw Data'!C:C,'Raw Data'!A:A,B20,'Raw Data'!B:B,"Green Energy")</f>
        <v>2668.5</v>
      </c>
      <c r="F20" s="17">
        <f>SUMIFS('Raw Data'!C:C,'Raw Data'!A:A,B20,'Raw Data'!B:B,"Cement")</f>
        <v>3092.3</v>
      </c>
    </row>
    <row r="21" spans="2:6" x14ac:dyDescent="0.25">
      <c r="B21" s="16" t="s">
        <v>21</v>
      </c>
      <c r="C21" s="17">
        <f>SUMIFS('Raw Data'!C:C,'Raw Data'!A:A,B21,'Raw Data'!B:B,"Ports &amp; Logistics")</f>
        <v>4232.2</v>
      </c>
      <c r="D21" s="17">
        <f>SUMIFS('Raw Data'!C:C,'Raw Data'!A:A,B21,'Raw Data'!B:B,"Power")</f>
        <v>5162.2</v>
      </c>
      <c r="E21" s="17">
        <f>SUMIFS('Raw Data'!C:C,'Raw Data'!A:A,B21,'Raw Data'!B:B,"Green Energy")</f>
        <v>2725.1</v>
      </c>
      <c r="F21" s="17">
        <f>SUMIFS('Raw Data'!C:C,'Raw Data'!A:A,B21,'Raw Data'!B:B,"Cement")</f>
        <v>3071.6</v>
      </c>
    </row>
    <row r="22" spans="2:6" x14ac:dyDescent="0.25">
      <c r="B22" s="16" t="s">
        <v>22</v>
      </c>
      <c r="C22" s="17">
        <f>SUMIFS('Raw Data'!C:C,'Raw Data'!A:A,B22,'Raw Data'!B:B,"Ports &amp; Logistics")</f>
        <v>4431</v>
      </c>
      <c r="D22" s="17">
        <f>SUMIFS('Raw Data'!C:C,'Raw Data'!A:A,B22,'Raw Data'!B:B,"Power")</f>
        <v>5298.7</v>
      </c>
      <c r="E22" s="17">
        <f>SUMIFS('Raw Data'!C:C,'Raw Data'!A:A,B22,'Raw Data'!B:B,"Green Energy")</f>
        <v>2947.4</v>
      </c>
      <c r="F22" s="17">
        <f>SUMIFS('Raw Data'!C:C,'Raw Data'!A:A,B22,'Raw Data'!B:B,"Cement")</f>
        <v>3319.5</v>
      </c>
    </row>
    <row r="23" spans="2:6" x14ac:dyDescent="0.25">
      <c r="B23" s="16" t="s">
        <v>23</v>
      </c>
      <c r="C23" s="17">
        <f>SUMIFS('Raw Data'!C:C,'Raw Data'!A:A,B23,'Raw Data'!B:B,"Ports &amp; Logistics")</f>
        <v>4189</v>
      </c>
      <c r="D23" s="17">
        <f>SUMIFS('Raw Data'!C:C,'Raw Data'!A:A,B23,'Raw Data'!B:B,"Power")</f>
        <v>5087.8</v>
      </c>
      <c r="E23" s="17">
        <f>SUMIFS('Raw Data'!C:C,'Raw Data'!A:A,B23,'Raw Data'!B:B,"Green Energy")</f>
        <v>2713.2</v>
      </c>
      <c r="F23" s="17">
        <f>SUMIFS('Raw Data'!C:C,'Raw Data'!A:A,B23,'Raw Data'!B:B,"Cement")</f>
        <v>3098.3</v>
      </c>
    </row>
    <row r="24" spans="2:6" x14ac:dyDescent="0.25">
      <c r="B24" s="16" t="s">
        <v>24</v>
      </c>
      <c r="C24" s="17">
        <f>SUMIFS('Raw Data'!C:C,'Raw Data'!A:A,B24,'Raw Data'!B:B,"Ports &amp; Logistics")</f>
        <v>4613.6000000000004</v>
      </c>
      <c r="D24" s="17">
        <f>SUMIFS('Raw Data'!C:C,'Raw Data'!A:A,B24,'Raw Data'!B:B,"Power")</f>
        <v>5258.8</v>
      </c>
      <c r="E24" s="17">
        <f>SUMIFS('Raw Data'!C:C,'Raw Data'!A:A,B24,'Raw Data'!B:B,"Green Energy")</f>
        <v>2874.9</v>
      </c>
      <c r="F24" s="17">
        <f>SUMIFS('Raw Data'!C:C,'Raw Data'!A:A,B24,'Raw Data'!B:B,"Cement")</f>
        <v>3242.7</v>
      </c>
    </row>
    <row r="25" spans="2:6" x14ac:dyDescent="0.25">
      <c r="B25" s="16" t="s">
        <v>25</v>
      </c>
      <c r="C25" s="17">
        <f>SUMIFS('Raw Data'!C:C,'Raw Data'!A:A,B25,'Raw Data'!B:B,"Ports &amp; Logistics")</f>
        <v>4568.7</v>
      </c>
      <c r="D25" s="17">
        <f>SUMIFS('Raw Data'!C:C,'Raw Data'!A:A,B25,'Raw Data'!B:B,"Power")</f>
        <v>5099.7</v>
      </c>
      <c r="E25" s="17">
        <f>SUMIFS('Raw Data'!C:C,'Raw Data'!A:A,B25,'Raw Data'!B:B,"Green Energy")</f>
        <v>2786.3</v>
      </c>
      <c r="F25" s="17">
        <f>SUMIFS('Raw Data'!C:C,'Raw Data'!A:A,B25,'Raw Data'!B:B,"Cement")</f>
        <v>3260.3</v>
      </c>
    </row>
    <row r="26" spans="2:6" x14ac:dyDescent="0.25">
      <c r="B26" s="16" t="s">
        <v>26</v>
      </c>
      <c r="C26" s="17">
        <f>SUMIFS('Raw Data'!C:C,'Raw Data'!A:A,B26,'Raw Data'!B:B,"Ports &amp; Logistics")</f>
        <v>4868.7</v>
      </c>
      <c r="D26" s="17">
        <f>SUMIFS('Raw Data'!C:C,'Raw Data'!A:A,B26,'Raw Data'!B:B,"Power")</f>
        <v>5708.1</v>
      </c>
      <c r="E26" s="17">
        <f>SUMIFS('Raw Data'!C:C,'Raw Data'!A:A,B26,'Raw Data'!B:B,"Green Energy")</f>
        <v>3136.5</v>
      </c>
      <c r="F26" s="17">
        <f>SUMIFS('Raw Data'!C:C,'Raw Data'!A:A,B26,'Raw Data'!B:B,"Cement")</f>
        <v>3327</v>
      </c>
    </row>
  </sheetData>
  <mergeCells count="8">
    <mergeCell ref="B5:C5"/>
    <mergeCell ref="E5:F5"/>
    <mergeCell ref="H5:I5"/>
    <mergeCell ref="K5:L5"/>
    <mergeCell ref="B6:C6"/>
    <mergeCell ref="E6:F6"/>
    <mergeCell ref="H6:I6"/>
    <mergeCell ref="K6:L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45" customWidth="1"/>
    <col min="3" max="3" width="35" customWidth="1"/>
  </cols>
  <sheetData>
    <row r="1" spans="1:3" ht="20.25" x14ac:dyDescent="0.3">
      <c r="A1" s="5" t="s">
        <v>0</v>
      </c>
    </row>
    <row r="2" spans="1:3" x14ac:dyDescent="0.25">
      <c r="A2" s="6" t="s">
        <v>27</v>
      </c>
    </row>
    <row r="4" spans="1:3" x14ac:dyDescent="0.25">
      <c r="A4" s="18" t="s">
        <v>28</v>
      </c>
      <c r="B4" s="18" t="s">
        <v>29</v>
      </c>
      <c r="C4" s="18" t="s">
        <v>30</v>
      </c>
    </row>
    <row r="5" spans="1:3" x14ac:dyDescent="0.25">
      <c r="A5" s="19" t="s">
        <v>18</v>
      </c>
      <c r="B5" s="19" t="s">
        <v>31</v>
      </c>
      <c r="C5" s="19" t="s">
        <v>32</v>
      </c>
    </row>
    <row r="6" spans="1:3" ht="25.5" x14ac:dyDescent="0.25">
      <c r="A6" s="19" t="s">
        <v>7</v>
      </c>
      <c r="B6" s="19" t="s">
        <v>33</v>
      </c>
      <c r="C6" s="19" t="s">
        <v>34</v>
      </c>
    </row>
    <row r="7" spans="1:3" x14ac:dyDescent="0.25">
      <c r="A7" s="19" t="s">
        <v>35</v>
      </c>
      <c r="B7" s="19" t="s">
        <v>36</v>
      </c>
      <c r="C7" s="19" t="s">
        <v>37</v>
      </c>
    </row>
    <row r="8" spans="1:3" x14ac:dyDescent="0.25">
      <c r="A8" s="19" t="s">
        <v>38</v>
      </c>
      <c r="B8" s="19" t="s">
        <v>39</v>
      </c>
      <c r="C8" s="19" t="s">
        <v>37</v>
      </c>
    </row>
    <row r="9" spans="1:3" x14ac:dyDescent="0.25">
      <c r="A9" s="19" t="s">
        <v>9</v>
      </c>
      <c r="B9" s="19" t="s">
        <v>40</v>
      </c>
      <c r="C9" s="19" t="s">
        <v>37</v>
      </c>
    </row>
    <row r="10" spans="1:3" ht="38.25" x14ac:dyDescent="0.25">
      <c r="A10" s="19" t="s">
        <v>41</v>
      </c>
      <c r="B10" s="19" t="s">
        <v>42</v>
      </c>
      <c r="C10" s="19" t="s">
        <v>43</v>
      </c>
    </row>
    <row r="11" spans="1:3" ht="25.5" x14ac:dyDescent="0.25">
      <c r="A11" s="19" t="s">
        <v>44</v>
      </c>
      <c r="B11" s="19" t="s">
        <v>45</v>
      </c>
      <c r="C11" s="19" t="s">
        <v>46</v>
      </c>
    </row>
    <row r="13" spans="1:3" ht="15.75" x14ac:dyDescent="0.25">
      <c r="A13" s="7" t="s">
        <v>47</v>
      </c>
    </row>
    <row r="14" spans="1:3" ht="60" customHeight="1" x14ac:dyDescent="0.25">
      <c r="A14" s="1" t="s">
        <v>48</v>
      </c>
      <c r="B14" s="1"/>
      <c r="C14" s="1"/>
    </row>
    <row r="16" spans="1:3" ht="15.75" x14ac:dyDescent="0.25">
      <c r="A16" s="7" t="s">
        <v>49</v>
      </c>
    </row>
    <row r="17" spans="1:1" x14ac:dyDescent="0.25">
      <c r="A17" s="20" t="s">
        <v>50</v>
      </c>
    </row>
    <row r="19" spans="1:1" ht="15.75" x14ac:dyDescent="0.25">
      <c r="A19" s="7" t="s">
        <v>51</v>
      </c>
    </row>
    <row r="20" spans="1:1" x14ac:dyDescent="0.25">
      <c r="A20" s="20" t="s">
        <v>52</v>
      </c>
    </row>
  </sheetData>
  <mergeCells count="1"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0" customWidth="1"/>
    <col min="3" max="3" width="16" customWidth="1"/>
    <col min="4" max="4" width="14" customWidth="1"/>
    <col min="5" max="5" width="20" customWidth="1"/>
    <col min="6" max="6" width="12" customWidth="1"/>
    <col min="7" max="7" width="22" customWidth="1"/>
    <col min="8" max="8" width="16" customWidth="1"/>
  </cols>
  <sheetData>
    <row r="1" spans="1:8" ht="30" customHeight="1" x14ac:dyDescent="0.25">
      <c r="A1" s="21" t="s">
        <v>18</v>
      </c>
      <c r="B1" s="21" t="s">
        <v>7</v>
      </c>
      <c r="C1" s="21" t="s">
        <v>35</v>
      </c>
      <c r="D1" s="21" t="s">
        <v>38</v>
      </c>
      <c r="E1" s="21" t="s">
        <v>9</v>
      </c>
      <c r="F1" s="21" t="s">
        <v>53</v>
      </c>
      <c r="G1" s="21" t="s">
        <v>54</v>
      </c>
      <c r="H1" s="21" t="s">
        <v>44</v>
      </c>
    </row>
    <row r="2" spans="1:8" x14ac:dyDescent="0.25">
      <c r="A2" s="16" t="s">
        <v>19</v>
      </c>
      <c r="B2" s="16" t="s">
        <v>12</v>
      </c>
      <c r="C2" s="22">
        <v>4108.1000000000004</v>
      </c>
      <c r="D2" s="22">
        <v>2181.4</v>
      </c>
      <c r="E2" s="22">
        <v>4082.2</v>
      </c>
      <c r="F2" s="22">
        <v>91.1</v>
      </c>
      <c r="G2" s="16" t="s">
        <v>55</v>
      </c>
      <c r="H2" s="23">
        <f t="shared" ref="H2:H33" si="0">(C2-D2)/C2</f>
        <v>0.46900026776368642</v>
      </c>
    </row>
    <row r="3" spans="1:8" x14ac:dyDescent="0.25">
      <c r="A3" s="16" t="s">
        <v>20</v>
      </c>
      <c r="B3" s="16" t="s">
        <v>12</v>
      </c>
      <c r="C3" s="22">
        <v>4393.7</v>
      </c>
      <c r="D3" s="22">
        <v>2447.6</v>
      </c>
      <c r="E3" s="22">
        <v>4554.8</v>
      </c>
      <c r="F3" s="22">
        <v>96.4</v>
      </c>
      <c r="G3" s="16" t="s">
        <v>55</v>
      </c>
      <c r="H3" s="23">
        <f t="shared" si="0"/>
        <v>0.44292964927054645</v>
      </c>
    </row>
    <row r="4" spans="1:8" x14ac:dyDescent="0.25">
      <c r="A4" s="16" t="s">
        <v>21</v>
      </c>
      <c r="B4" s="16" t="s">
        <v>12</v>
      </c>
      <c r="C4" s="22">
        <v>4232.2</v>
      </c>
      <c r="D4" s="22">
        <v>2248.1</v>
      </c>
      <c r="E4" s="22">
        <v>4241.3999999999996</v>
      </c>
      <c r="F4" s="22">
        <v>96.2</v>
      </c>
      <c r="G4" s="16" t="s">
        <v>55</v>
      </c>
      <c r="H4" s="23">
        <f t="shared" si="0"/>
        <v>0.46881054770568498</v>
      </c>
    </row>
    <row r="5" spans="1:8" x14ac:dyDescent="0.25">
      <c r="A5" s="16" t="s">
        <v>22</v>
      </c>
      <c r="B5" s="16" t="s">
        <v>12</v>
      </c>
      <c r="C5" s="22">
        <v>4431</v>
      </c>
      <c r="D5" s="22">
        <v>2383.6999999999998</v>
      </c>
      <c r="E5" s="22">
        <v>4706.3999999999996</v>
      </c>
      <c r="F5" s="22">
        <v>103.3</v>
      </c>
      <c r="G5" s="16" t="s">
        <v>55</v>
      </c>
      <c r="H5" s="23">
        <f t="shared" si="0"/>
        <v>0.46204017151884452</v>
      </c>
    </row>
    <row r="6" spans="1:8" x14ac:dyDescent="0.25">
      <c r="A6" s="16" t="s">
        <v>23</v>
      </c>
      <c r="B6" s="16" t="s">
        <v>12</v>
      </c>
      <c r="C6" s="22">
        <v>4189</v>
      </c>
      <c r="D6" s="22">
        <v>2318.9</v>
      </c>
      <c r="E6" s="22">
        <v>4451.1000000000004</v>
      </c>
      <c r="F6" s="22">
        <v>94.5</v>
      </c>
      <c r="G6" s="16" t="s">
        <v>55</v>
      </c>
      <c r="H6" s="23">
        <f t="shared" si="0"/>
        <v>0.44643112914776795</v>
      </c>
    </row>
    <row r="7" spans="1:8" x14ac:dyDescent="0.25">
      <c r="A7" s="16" t="s">
        <v>24</v>
      </c>
      <c r="B7" s="16" t="s">
        <v>12</v>
      </c>
      <c r="C7" s="22">
        <v>4613.6000000000004</v>
      </c>
      <c r="D7" s="22">
        <v>2574</v>
      </c>
      <c r="E7" s="22">
        <v>4563.2</v>
      </c>
      <c r="F7" s="22">
        <v>101.1</v>
      </c>
      <c r="G7" s="16" t="s">
        <v>55</v>
      </c>
      <c r="H7" s="23">
        <f t="shared" si="0"/>
        <v>0.44208427258539973</v>
      </c>
    </row>
    <row r="8" spans="1:8" x14ac:dyDescent="0.25">
      <c r="A8" s="16" t="s">
        <v>25</v>
      </c>
      <c r="B8" s="16" t="s">
        <v>12</v>
      </c>
      <c r="C8" s="22">
        <v>4568.7</v>
      </c>
      <c r="D8" s="22">
        <v>2482.9</v>
      </c>
      <c r="E8" s="22">
        <v>4390.7</v>
      </c>
      <c r="F8" s="22">
        <v>99</v>
      </c>
      <c r="G8" s="16" t="s">
        <v>55</v>
      </c>
      <c r="H8" s="23">
        <f t="shared" si="0"/>
        <v>0.45654124805743423</v>
      </c>
    </row>
    <row r="9" spans="1:8" x14ac:dyDescent="0.25">
      <c r="A9" s="16" t="s">
        <v>26</v>
      </c>
      <c r="B9" s="16" t="s">
        <v>12</v>
      </c>
      <c r="C9" s="22">
        <v>4868.7</v>
      </c>
      <c r="D9" s="22">
        <v>2698</v>
      </c>
      <c r="E9" s="22">
        <v>4981.8</v>
      </c>
      <c r="F9" s="22">
        <v>108.9</v>
      </c>
      <c r="G9" s="16" t="s">
        <v>55</v>
      </c>
      <c r="H9" s="23">
        <f t="shared" si="0"/>
        <v>0.44584796762996282</v>
      </c>
    </row>
    <row r="10" spans="1:8" x14ac:dyDescent="0.25">
      <c r="A10" s="16" t="s">
        <v>19</v>
      </c>
      <c r="B10" s="16" t="s">
        <v>13</v>
      </c>
      <c r="C10" s="22">
        <v>4957.8</v>
      </c>
      <c r="D10" s="22">
        <v>3465.1</v>
      </c>
      <c r="E10" s="22">
        <v>4997.8999999999996</v>
      </c>
      <c r="F10" s="22">
        <v>3110.5</v>
      </c>
      <c r="G10" s="16" t="s">
        <v>56</v>
      </c>
      <c r="H10" s="23">
        <f t="shared" si="0"/>
        <v>0.30108112469240395</v>
      </c>
    </row>
    <row r="11" spans="1:8" x14ac:dyDescent="0.25">
      <c r="A11" s="16" t="s">
        <v>20</v>
      </c>
      <c r="B11" s="16" t="s">
        <v>13</v>
      </c>
      <c r="C11" s="22">
        <v>5331.3</v>
      </c>
      <c r="D11" s="22">
        <v>3650.6</v>
      </c>
      <c r="E11" s="22">
        <v>5483.9</v>
      </c>
      <c r="F11" s="22">
        <v>3290.5</v>
      </c>
      <c r="G11" s="16" t="s">
        <v>56</v>
      </c>
      <c r="H11" s="23">
        <f t="shared" si="0"/>
        <v>0.31525143961135188</v>
      </c>
    </row>
    <row r="12" spans="1:8" x14ac:dyDescent="0.25">
      <c r="A12" s="16" t="s">
        <v>21</v>
      </c>
      <c r="B12" s="16" t="s">
        <v>13</v>
      </c>
      <c r="C12" s="22">
        <v>5162.2</v>
      </c>
      <c r="D12" s="22">
        <v>3416.5</v>
      </c>
      <c r="E12" s="22">
        <v>5090.6000000000004</v>
      </c>
      <c r="F12" s="22">
        <v>3172.8</v>
      </c>
      <c r="G12" s="16" t="s">
        <v>56</v>
      </c>
      <c r="H12" s="23">
        <f t="shared" si="0"/>
        <v>0.33816977257758318</v>
      </c>
    </row>
    <row r="13" spans="1:8" x14ac:dyDescent="0.25">
      <c r="A13" s="16" t="s">
        <v>22</v>
      </c>
      <c r="B13" s="16" t="s">
        <v>13</v>
      </c>
      <c r="C13" s="22">
        <v>5298.7</v>
      </c>
      <c r="D13" s="22">
        <v>3546.5</v>
      </c>
      <c r="E13" s="22">
        <v>5370.9</v>
      </c>
      <c r="F13" s="22">
        <v>3380.4</v>
      </c>
      <c r="G13" s="16" t="s">
        <v>56</v>
      </c>
      <c r="H13" s="23">
        <f t="shared" si="0"/>
        <v>0.3306848849717855</v>
      </c>
    </row>
    <row r="14" spans="1:8" x14ac:dyDescent="0.25">
      <c r="A14" s="16" t="s">
        <v>23</v>
      </c>
      <c r="B14" s="16" t="s">
        <v>13</v>
      </c>
      <c r="C14" s="22">
        <v>5087.8</v>
      </c>
      <c r="D14" s="22">
        <v>3432.2</v>
      </c>
      <c r="E14" s="22">
        <v>5095.2</v>
      </c>
      <c r="F14" s="22">
        <v>3129.8</v>
      </c>
      <c r="G14" s="16" t="s">
        <v>56</v>
      </c>
      <c r="H14" s="23">
        <f t="shared" si="0"/>
        <v>0.32540587287236139</v>
      </c>
    </row>
    <row r="15" spans="1:8" x14ac:dyDescent="0.25">
      <c r="A15" s="16" t="s">
        <v>24</v>
      </c>
      <c r="B15" s="16" t="s">
        <v>13</v>
      </c>
      <c r="C15" s="22">
        <v>5258.8</v>
      </c>
      <c r="D15" s="22">
        <v>3667.8</v>
      </c>
      <c r="E15" s="22">
        <v>5503.2</v>
      </c>
      <c r="F15" s="22">
        <v>3361</v>
      </c>
      <c r="G15" s="16" t="s">
        <v>56</v>
      </c>
      <c r="H15" s="23">
        <f t="shared" si="0"/>
        <v>0.30254050353692857</v>
      </c>
    </row>
    <row r="16" spans="1:8" x14ac:dyDescent="0.25">
      <c r="A16" s="16" t="s">
        <v>25</v>
      </c>
      <c r="B16" s="16" t="s">
        <v>13</v>
      </c>
      <c r="C16" s="22">
        <v>5099.7</v>
      </c>
      <c r="D16" s="22">
        <v>3514.6</v>
      </c>
      <c r="E16" s="22">
        <v>5166.3</v>
      </c>
      <c r="F16" s="22">
        <v>3248.5</v>
      </c>
      <c r="G16" s="16" t="s">
        <v>56</v>
      </c>
      <c r="H16" s="23">
        <f t="shared" si="0"/>
        <v>0.3108222052277585</v>
      </c>
    </row>
    <row r="17" spans="1:8" x14ac:dyDescent="0.25">
      <c r="A17" s="16" t="s">
        <v>26</v>
      </c>
      <c r="B17" s="16" t="s">
        <v>13</v>
      </c>
      <c r="C17" s="22">
        <v>5708.1</v>
      </c>
      <c r="D17" s="22">
        <v>3913.5</v>
      </c>
      <c r="E17" s="22">
        <v>5681.4</v>
      </c>
      <c r="F17" s="22">
        <v>3505.1</v>
      </c>
      <c r="G17" s="16" t="s">
        <v>56</v>
      </c>
      <c r="H17" s="23">
        <f t="shared" si="0"/>
        <v>0.31439533294791616</v>
      </c>
    </row>
    <row r="18" spans="1:8" x14ac:dyDescent="0.25">
      <c r="A18" s="16" t="s">
        <v>19</v>
      </c>
      <c r="B18" s="16" t="s">
        <v>14</v>
      </c>
      <c r="C18" s="22">
        <v>2573.9</v>
      </c>
      <c r="D18" s="22">
        <v>1186.7</v>
      </c>
      <c r="E18" s="22">
        <v>2517.8000000000002</v>
      </c>
      <c r="F18" s="22">
        <v>1332.6</v>
      </c>
      <c r="G18" s="16" t="s">
        <v>56</v>
      </c>
      <c r="H18" s="23">
        <f t="shared" si="0"/>
        <v>0.53894867710478267</v>
      </c>
    </row>
    <row r="19" spans="1:8" x14ac:dyDescent="0.25">
      <c r="A19" s="16" t="s">
        <v>20</v>
      </c>
      <c r="B19" s="16" t="s">
        <v>14</v>
      </c>
      <c r="C19" s="22">
        <v>2668.5</v>
      </c>
      <c r="D19" s="22">
        <v>1176</v>
      </c>
      <c r="E19" s="22">
        <v>2690</v>
      </c>
      <c r="F19" s="22">
        <v>1478.7</v>
      </c>
      <c r="G19" s="16" t="s">
        <v>56</v>
      </c>
      <c r="H19" s="23">
        <f t="shared" si="0"/>
        <v>0.55930297920179872</v>
      </c>
    </row>
    <row r="20" spans="1:8" x14ac:dyDescent="0.25">
      <c r="A20" s="16" t="s">
        <v>21</v>
      </c>
      <c r="B20" s="16" t="s">
        <v>14</v>
      </c>
      <c r="C20" s="22">
        <v>2725.1</v>
      </c>
      <c r="D20" s="22">
        <v>1206.0999999999999</v>
      </c>
      <c r="E20" s="22">
        <v>2751.3</v>
      </c>
      <c r="F20" s="22">
        <v>1428.9</v>
      </c>
      <c r="G20" s="16" t="s">
        <v>56</v>
      </c>
      <c r="H20" s="23">
        <f t="shared" si="0"/>
        <v>0.55741073722065249</v>
      </c>
    </row>
    <row r="21" spans="1:8" x14ac:dyDescent="0.25">
      <c r="A21" s="16" t="s">
        <v>22</v>
      </c>
      <c r="B21" s="16" t="s">
        <v>14</v>
      </c>
      <c r="C21" s="22">
        <v>2947.4</v>
      </c>
      <c r="D21" s="22">
        <v>1321.5</v>
      </c>
      <c r="E21" s="22">
        <v>2879.3</v>
      </c>
      <c r="F21" s="22">
        <v>1532.8</v>
      </c>
      <c r="G21" s="16" t="s">
        <v>56</v>
      </c>
      <c r="H21" s="23">
        <f t="shared" si="0"/>
        <v>0.55163873244215245</v>
      </c>
    </row>
    <row r="22" spans="1:8" x14ac:dyDescent="0.25">
      <c r="A22" s="16" t="s">
        <v>23</v>
      </c>
      <c r="B22" s="16" t="s">
        <v>14</v>
      </c>
      <c r="C22" s="22">
        <v>2713.2</v>
      </c>
      <c r="D22" s="22">
        <v>1195.2</v>
      </c>
      <c r="E22" s="22">
        <v>2775.6</v>
      </c>
      <c r="F22" s="22">
        <v>1478.7</v>
      </c>
      <c r="G22" s="16" t="s">
        <v>56</v>
      </c>
      <c r="H22" s="23">
        <f t="shared" si="0"/>
        <v>0.55948695267580717</v>
      </c>
    </row>
    <row r="23" spans="1:8" x14ac:dyDescent="0.25">
      <c r="A23" s="16" t="s">
        <v>24</v>
      </c>
      <c r="B23" s="16" t="s">
        <v>14</v>
      </c>
      <c r="C23" s="22">
        <v>2874.9</v>
      </c>
      <c r="D23" s="22">
        <v>1261.4000000000001</v>
      </c>
      <c r="E23" s="22">
        <v>3065.3</v>
      </c>
      <c r="F23" s="22">
        <v>1558</v>
      </c>
      <c r="G23" s="16" t="s">
        <v>56</v>
      </c>
      <c r="H23" s="23">
        <f t="shared" si="0"/>
        <v>0.56123691258826391</v>
      </c>
    </row>
    <row r="24" spans="1:8" x14ac:dyDescent="0.25">
      <c r="A24" s="16" t="s">
        <v>25</v>
      </c>
      <c r="B24" s="16" t="s">
        <v>14</v>
      </c>
      <c r="C24" s="22">
        <v>2786.3</v>
      </c>
      <c r="D24" s="22">
        <v>1203.3</v>
      </c>
      <c r="E24" s="22">
        <v>2824.3</v>
      </c>
      <c r="F24" s="22">
        <v>1545.9</v>
      </c>
      <c r="G24" s="16" t="s">
        <v>56</v>
      </c>
      <c r="H24" s="23">
        <f t="shared" si="0"/>
        <v>0.56813695581954571</v>
      </c>
    </row>
    <row r="25" spans="1:8" x14ac:dyDescent="0.25">
      <c r="A25" s="16" t="s">
        <v>26</v>
      </c>
      <c r="B25" s="16" t="s">
        <v>14</v>
      </c>
      <c r="C25" s="22">
        <v>3136.5</v>
      </c>
      <c r="D25" s="22">
        <v>1401.7</v>
      </c>
      <c r="E25" s="22">
        <v>3036.5</v>
      </c>
      <c r="F25" s="22">
        <v>1651.9</v>
      </c>
      <c r="G25" s="16" t="s">
        <v>56</v>
      </c>
      <c r="H25" s="23">
        <f t="shared" si="0"/>
        <v>0.55310058982942767</v>
      </c>
    </row>
    <row r="26" spans="1:8" x14ac:dyDescent="0.25">
      <c r="A26" s="16" t="s">
        <v>19</v>
      </c>
      <c r="B26" s="16" t="s">
        <v>15</v>
      </c>
      <c r="C26" s="22">
        <v>3096.5</v>
      </c>
      <c r="D26" s="22">
        <v>2233.1</v>
      </c>
      <c r="E26" s="22">
        <v>3180.5</v>
      </c>
      <c r="F26" s="22">
        <v>17.7</v>
      </c>
      <c r="G26" s="16" t="s">
        <v>57</v>
      </c>
      <c r="H26" s="23">
        <f t="shared" si="0"/>
        <v>0.27883093815598259</v>
      </c>
    </row>
    <row r="27" spans="1:8" x14ac:dyDescent="0.25">
      <c r="A27" s="16" t="s">
        <v>20</v>
      </c>
      <c r="B27" s="16" t="s">
        <v>15</v>
      </c>
      <c r="C27" s="22">
        <v>3092.3</v>
      </c>
      <c r="D27" s="22">
        <v>2253.8000000000002</v>
      </c>
      <c r="E27" s="22">
        <v>3295.7</v>
      </c>
      <c r="F27" s="22">
        <v>18.5</v>
      </c>
      <c r="G27" s="16" t="s">
        <v>57</v>
      </c>
      <c r="H27" s="23">
        <f t="shared" si="0"/>
        <v>0.27115739093878344</v>
      </c>
    </row>
    <row r="28" spans="1:8" x14ac:dyDescent="0.25">
      <c r="A28" s="16" t="s">
        <v>21</v>
      </c>
      <c r="B28" s="16" t="s">
        <v>15</v>
      </c>
      <c r="C28" s="22">
        <v>3071.6</v>
      </c>
      <c r="D28" s="22">
        <v>2228.9</v>
      </c>
      <c r="E28" s="22">
        <v>3080.7</v>
      </c>
      <c r="F28" s="22">
        <v>18</v>
      </c>
      <c r="G28" s="16" t="s">
        <v>57</v>
      </c>
      <c r="H28" s="23">
        <f t="shared" si="0"/>
        <v>0.27435212918348739</v>
      </c>
    </row>
    <row r="29" spans="1:8" x14ac:dyDescent="0.25">
      <c r="A29" s="16" t="s">
        <v>22</v>
      </c>
      <c r="B29" s="16" t="s">
        <v>15</v>
      </c>
      <c r="C29" s="22">
        <v>3319.5</v>
      </c>
      <c r="D29" s="22">
        <v>2450.3000000000002</v>
      </c>
      <c r="E29" s="22">
        <v>3495.5</v>
      </c>
      <c r="F29" s="22">
        <v>19.100000000000001</v>
      </c>
      <c r="G29" s="16" t="s">
        <v>57</v>
      </c>
      <c r="H29" s="23">
        <f t="shared" si="0"/>
        <v>0.2618466636541647</v>
      </c>
    </row>
    <row r="30" spans="1:8" x14ac:dyDescent="0.25">
      <c r="A30" s="16" t="s">
        <v>23</v>
      </c>
      <c r="B30" s="16" t="s">
        <v>15</v>
      </c>
      <c r="C30" s="22">
        <v>3098.3</v>
      </c>
      <c r="D30" s="22">
        <v>2191</v>
      </c>
      <c r="E30" s="22">
        <v>3262.5</v>
      </c>
      <c r="F30" s="22">
        <v>18.3</v>
      </c>
      <c r="G30" s="16" t="s">
        <v>57</v>
      </c>
      <c r="H30" s="23">
        <f t="shared" si="0"/>
        <v>0.292838007939838</v>
      </c>
    </row>
    <row r="31" spans="1:8" x14ac:dyDescent="0.25">
      <c r="A31" s="16" t="s">
        <v>24</v>
      </c>
      <c r="B31" s="16" t="s">
        <v>15</v>
      </c>
      <c r="C31" s="22">
        <v>3242.7</v>
      </c>
      <c r="D31" s="22">
        <v>2352.6999999999998</v>
      </c>
      <c r="E31" s="22">
        <v>3376.6</v>
      </c>
      <c r="F31" s="22">
        <v>18.8</v>
      </c>
      <c r="G31" s="16" t="s">
        <v>57</v>
      </c>
      <c r="H31" s="23">
        <f t="shared" si="0"/>
        <v>0.27446263915872576</v>
      </c>
    </row>
    <row r="32" spans="1:8" x14ac:dyDescent="0.25">
      <c r="A32" s="16" t="s">
        <v>25</v>
      </c>
      <c r="B32" s="16" t="s">
        <v>15</v>
      </c>
      <c r="C32" s="22">
        <v>3260.3</v>
      </c>
      <c r="D32" s="22">
        <v>2352.5</v>
      </c>
      <c r="E32" s="22">
        <v>3345.5</v>
      </c>
      <c r="F32" s="22">
        <v>18.7</v>
      </c>
      <c r="G32" s="16" t="s">
        <v>57</v>
      </c>
      <c r="H32" s="23">
        <f t="shared" si="0"/>
        <v>0.27844063429745736</v>
      </c>
    </row>
    <row r="33" spans="1:8" x14ac:dyDescent="0.25">
      <c r="A33" s="16" t="s">
        <v>26</v>
      </c>
      <c r="B33" s="16" t="s">
        <v>15</v>
      </c>
      <c r="C33" s="22">
        <v>3327</v>
      </c>
      <c r="D33" s="22">
        <v>2372</v>
      </c>
      <c r="E33" s="22">
        <v>3366.5</v>
      </c>
      <c r="F33" s="22">
        <v>20.3</v>
      </c>
      <c r="G33" s="16" t="s">
        <v>57</v>
      </c>
      <c r="H33" s="23">
        <f t="shared" si="0"/>
        <v>0.28704538623384429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 Dictionary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Tirthraj Ray</cp:lastModifiedBy>
  <cp:revision>1</cp:revision>
  <dcterms:created xsi:type="dcterms:W3CDTF">2026-07-30T17:05:58Z</dcterms:created>
  <dcterms:modified xsi:type="dcterms:W3CDTF">2026-07-30T17:10:51Z</dcterms:modified>
  <dc:language>en-US</dc:language>
</cp:coreProperties>
</file>